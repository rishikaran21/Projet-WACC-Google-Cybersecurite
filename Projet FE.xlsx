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/>
  <xr:revisionPtr revIDLastSave="0" documentId="13_ncr:41000001_{90C12582-AA08-5A4A-A311-732C276506C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oogle" sheetId="1" r:id="rId1"/>
    <sheet name="Pure play" sheetId="2" r:id="rId2"/>
    <sheet name="Cybersecurity" sheetId="3" r:id="rId3"/>
    <sheet name="Summary" sheetId="4" r:id="rId4"/>
    <sheet name="Feuille 4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3" i="1"/>
  <c r="B2" i="1"/>
  <c r="B13" i="1"/>
  <c r="B3" i="4"/>
  <c r="B15" i="3"/>
  <c r="B17" i="3"/>
  <c r="B19" i="3"/>
  <c r="B5" i="4"/>
  <c r="B7" i="4"/>
  <c r="I4" i="2"/>
  <c r="N6" i="2"/>
  <c r="I6" i="2"/>
  <c r="N7" i="2"/>
  <c r="I7" i="2"/>
  <c r="N8" i="2"/>
  <c r="I8" i="2"/>
  <c r="N9" i="2"/>
  <c r="I9" i="2"/>
  <c r="N10" i="2"/>
  <c r="I10" i="2"/>
  <c r="N11" i="2"/>
  <c r="I11" i="2"/>
  <c r="N12" i="2"/>
  <c r="I12" i="2"/>
  <c r="N13" i="2"/>
  <c r="I13" i="2"/>
  <c r="I17" i="2"/>
  <c r="N5" i="2"/>
  <c r="I5" i="2"/>
  <c r="I16" i="2"/>
  <c r="E13" i="2"/>
  <c r="D13" i="2"/>
  <c r="E12" i="2"/>
  <c r="D12" i="2"/>
  <c r="E11" i="2"/>
  <c r="D11" i="2"/>
  <c r="E10" i="2"/>
  <c r="D10" i="2"/>
  <c r="E8" i="2"/>
  <c r="D8" i="2"/>
  <c r="E6" i="2"/>
  <c r="D6" i="2"/>
  <c r="E4" i="2"/>
  <c r="D4" i="2"/>
</calcChain>
</file>

<file path=xl/sharedStrings.xml><?xml version="1.0" encoding="utf-8"?>
<sst xmlns="http://schemas.openxmlformats.org/spreadsheetml/2006/main" count="130" uniqueCount="115">
  <si>
    <t>Alphabet Inc (GOOG)</t>
  </si>
  <si>
    <t xml:space="preserve">Formula </t>
  </si>
  <si>
    <t xml:space="preserve">Source + Comment </t>
  </si>
  <si>
    <t xml:space="preserve">Date </t>
  </si>
  <si>
    <t>Debt %</t>
  </si>
  <si>
    <t>total debt / total debt + total equity</t>
  </si>
  <si>
    <t>Yahoo finance</t>
  </si>
  <si>
    <t>Equity %</t>
  </si>
  <si>
    <t>total equity / total debt + total equity</t>
  </si>
  <si>
    <t>Cost of Debt, R(d)</t>
  </si>
  <si>
    <t>FRED : AA+ rating by S&amp;P</t>
  </si>
  <si>
    <t>Risk free Rate, R(f)</t>
  </si>
  <si>
    <t>CNBC : U.S. 30-year Treasury bond</t>
  </si>
  <si>
    <t xml:space="preserve">Beta </t>
  </si>
  <si>
    <t xml:space="preserve">Yahoo finance </t>
  </si>
  <si>
    <t>Risk Premium, R(p)</t>
  </si>
  <si>
    <t xml:space="preserve"> value investing </t>
  </si>
  <si>
    <t xml:space="preserve">Tax Rate </t>
  </si>
  <si>
    <t>FMP même valeur depuis 2019</t>
  </si>
  <si>
    <t>FMP</t>
  </si>
  <si>
    <t xml:space="preserve">Current WACC </t>
  </si>
  <si>
    <t>CNBC 31/12/23</t>
  </si>
  <si>
    <t xml:space="preserve">R(e) </t>
  </si>
  <si>
    <t>R(f) + Beta*R(p)</t>
  </si>
  <si>
    <t>Total Debt</t>
  </si>
  <si>
    <t>Total Equity</t>
  </si>
  <si>
    <t>WACC</t>
  </si>
  <si>
    <t>R(e)*Equity%+R(d)*Debt%*(1-tax rate)</t>
  </si>
  <si>
    <t xml:space="preserve">Date de toutes les valeurs </t>
  </si>
  <si>
    <t xml:space="preserve">31/12/2023 = end of the fiscal year </t>
  </si>
  <si>
    <t xml:space="preserve">Why chosing US 30 Y Treasury bond for risk free rate : </t>
  </si>
  <si>
    <t>considered one of the safest investments because it's backed by the U.S. government. 
Since it lasts for 30 years, it gives a steady, reliable return that helps predict long-term economic trends. 
These bonds are also easy to buy and sell, which makes them a useful standard for comparing other investments</t>
  </si>
  <si>
    <t>américaine pour le risk free rate</t>
  </si>
  <si>
    <t>Capital Structure</t>
  </si>
  <si>
    <t>Company</t>
  </si>
  <si>
    <t>Ticker</t>
  </si>
  <si>
    <t>Market Cap $</t>
  </si>
  <si>
    <t>Debt%</t>
  </si>
  <si>
    <t>Equity%</t>
  </si>
  <si>
    <t>FT data provided by LSEG</t>
  </si>
  <si>
    <t>CNBC</t>
  </si>
  <si>
    <t>Yahoo Finance</t>
  </si>
  <si>
    <t>Asset Beta based of Yahoo equity data</t>
  </si>
  <si>
    <t>Comment</t>
  </si>
  <si>
    <t>EQUITY</t>
  </si>
  <si>
    <t>debt</t>
  </si>
  <si>
    <t>tax rate %</t>
  </si>
  <si>
    <t>D/E</t>
  </si>
  <si>
    <t>Palo Alto Networks</t>
  </si>
  <si>
    <t>PANW</t>
  </si>
  <si>
    <t>124.324B</t>
  </si>
  <si>
    <t>1,12</t>
  </si>
  <si>
    <t>07/31/2023</t>
  </si>
  <si>
    <t>Darktrace</t>
  </si>
  <si>
    <t>DRKTY</t>
  </si>
  <si>
    <t>4.513B</t>
  </si>
  <si>
    <t>N/A</t>
  </si>
  <si>
    <t>#less than 5 year in public 30/06/2023</t>
  </si>
  <si>
    <t>Crowdstrike</t>
  </si>
  <si>
    <t>CRWD</t>
  </si>
  <si>
    <t>79.229B</t>
  </si>
  <si>
    <t>01/31/2023</t>
  </si>
  <si>
    <t>Datadog</t>
  </si>
  <si>
    <t>DDOG</t>
  </si>
  <si>
    <t>43.719B</t>
  </si>
  <si>
    <t>12/31/2023</t>
  </si>
  <si>
    <t>Zscaler</t>
  </si>
  <si>
    <t>ZS</t>
  </si>
  <si>
    <t>29.675B</t>
  </si>
  <si>
    <t>Akamai Technologies</t>
  </si>
  <si>
    <t>AKAM</t>
  </si>
  <si>
    <t>15.733B</t>
  </si>
  <si>
    <t>Okta</t>
  </si>
  <si>
    <t>OKTA</t>
  </si>
  <si>
    <t>13.062B</t>
  </si>
  <si>
    <t xml:space="preserve">Cisco </t>
  </si>
  <si>
    <t>CSCO</t>
  </si>
  <si>
    <t>231.428B</t>
  </si>
  <si>
    <t>F5</t>
  </si>
  <si>
    <t>FFIV</t>
  </si>
  <si>
    <t>13.147B</t>
  </si>
  <si>
    <t>09/30/2023</t>
  </si>
  <si>
    <t xml:space="preserve">Check Point Software </t>
  </si>
  <si>
    <t>CHKP</t>
  </si>
  <si>
    <t>19.36B</t>
  </si>
  <si>
    <t>pas de valeurs</t>
  </si>
  <si>
    <t>sophos</t>
  </si>
  <si>
    <t>overall avg</t>
  </si>
  <si>
    <t>sonicwall</t>
  </si>
  <si>
    <t>avg excluding #</t>
  </si>
  <si>
    <t>barracuda networks</t>
  </si>
  <si>
    <t>splunk</t>
  </si>
  <si>
    <t>cylance</t>
  </si>
  <si>
    <t>Cybersecurity</t>
  </si>
  <si>
    <t>Values</t>
  </si>
  <si>
    <t xml:space="preserve">Formula: </t>
  </si>
  <si>
    <t>Source / Comments:</t>
  </si>
  <si>
    <t>rating = BBB in average FRED</t>
  </si>
  <si>
    <t>Risk Free Rate, R(f)</t>
  </si>
  <si>
    <t>CNBC : U.S 30Y Treasury bond</t>
  </si>
  <si>
    <t>R(p) of Google + difference in spread of AA &amp; BBB</t>
  </si>
  <si>
    <t>Tax rate</t>
  </si>
  <si>
    <t>1. Asset Beta (Ba) from Pure Play analysis</t>
  </si>
  <si>
    <t>2. Re-lever Asset Beta (Ba) to get new Equity Beta  (Be)</t>
  </si>
  <si>
    <t>Equity Beta (Be)</t>
  </si>
  <si>
    <t>Be= Ba*[1+(D/E*(1-t))]</t>
  </si>
  <si>
    <t>Cost of Equity  R(e)=</t>
  </si>
  <si>
    <t>R(f)+Beta* R(p)</t>
  </si>
  <si>
    <t>R(e)*Equity% + R(d)*Debt%*(1-tax rate)</t>
  </si>
  <si>
    <t xml:space="preserve">Summary </t>
  </si>
  <si>
    <t>Current WACC of Alphabet Inc</t>
  </si>
  <si>
    <t xml:space="preserve">Project WACC </t>
  </si>
  <si>
    <t>Post investment WACC of Alphabet Inc</t>
  </si>
  <si>
    <t>(85% original Alphabet Inc / 15% Project)</t>
  </si>
  <si>
    <t>https://investir.lesechos.fr/marches-indices/enquetes/les-societes-qui-vont-profiter-de-la-forte-croissance-de-la-cybersecurite-1973692#:~:text=Exclusive%20Networks%2C%20Wallix%20et%20Verimatrix,les%20doigts%20d'une%20main.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</si>
</sst>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1F1F1F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000000"/>
      <name val="Arial"/>
      <scheme val="minor"/>
    </font>
    <font>
      <b/>
      <sz val="10"/>
      <color theme="1"/>
      <name val="Arial"/>
    </font>
    <font>
      <sz val="5"/>
      <color rgb="FF000000"/>
      <name val="Arial"/>
      <scheme val="minor"/>
    </font>
    <font>
      <sz val="9"/>
      <color rgb="FF232A31"/>
      <name val="&quot;GT America&quot;"/>
    </font>
    <font>
      <sz val="9"/>
      <color rgb="FF232A31"/>
      <name val="Arial"/>
    </font>
    <font>
      <b/>
      <sz val="10"/>
      <color theme="1"/>
      <name val="Arial"/>
    </font>
    <font>
      <i/>
      <sz val="10"/>
      <color theme="1"/>
      <name val="Arial"/>
    </font>
    <font>
      <i/>
      <sz val="10"/>
      <color rgb="FF1F1F1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/>
    <xf numFmtId="0" fontId="1" fillId="0" borderId="0" xfId="0" applyFont="1" applyAlignment="1"/>
    <xf numFmtId="0" fontId="2" fillId="3" borderId="0" xfId="0" applyFont="1" applyFill="1" applyAlignment="1"/>
    <xf numFmtId="0" fontId="3" fillId="0" borderId="0" xfId="0" applyFont="1" applyAlignment="1"/>
    <xf numFmtId="0" fontId="4" fillId="4" borderId="0" xfId="0" applyFont="1" applyFill="1" applyAlignment="1"/>
    <xf numFmtId="0" fontId="4" fillId="4" borderId="0" xfId="0" applyFont="1" applyFill="1"/>
    <xf numFmtId="9" fontId="1" fillId="4" borderId="0" xfId="0" applyNumberFormat="1" applyFont="1" applyFill="1" applyAlignment="1"/>
    <xf numFmtId="164" fontId="2" fillId="3" borderId="0" xfId="0" applyNumberFormat="1" applyFont="1" applyFill="1" applyAlignment="1"/>
    <xf numFmtId="14" fontId="3" fillId="0" borderId="0" xfId="0" applyNumberFormat="1" applyFont="1" applyAlignment="1"/>
    <xf numFmtId="10" fontId="1" fillId="4" borderId="0" xfId="0" applyNumberFormat="1" applyFont="1" applyFill="1" applyAlignment="1"/>
    <xf numFmtId="0" fontId="3" fillId="0" borderId="0" xfId="0" applyFont="1"/>
    <xf numFmtId="2" fontId="4" fillId="4" borderId="0" xfId="0" applyNumberFormat="1" applyFont="1" applyFill="1"/>
    <xf numFmtId="165" fontId="3" fillId="0" borderId="0" xfId="0" applyNumberFormat="1" applyFont="1" applyAlignment="1"/>
    <xf numFmtId="0" fontId="1" fillId="4" borderId="0" xfId="0" applyFont="1" applyFill="1" applyAlignment="1"/>
    <xf numFmtId="10" fontId="4" fillId="4" borderId="0" xfId="0" applyNumberFormat="1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10" fontId="1" fillId="0" borderId="0" xfId="0" applyNumberFormat="1" applyFont="1"/>
    <xf numFmtId="0" fontId="4" fillId="5" borderId="0" xfId="0" applyFont="1" applyFill="1" applyAlignment="1"/>
    <xf numFmtId="0" fontId="7" fillId="0" borderId="0" xfId="0" applyFont="1" applyAlignment="1"/>
    <xf numFmtId="0" fontId="8" fillId="3" borderId="0" xfId="0" applyFont="1" applyFill="1" applyAlignment="1">
      <alignment horizontal="left"/>
    </xf>
    <xf numFmtId="9" fontId="4" fillId="0" borderId="0" xfId="0" applyNumberFormat="1" applyFont="1" applyAlignment="1"/>
    <xf numFmtId="9" fontId="4" fillId="0" borderId="0" xfId="0" applyNumberFormat="1" applyFont="1"/>
    <xf numFmtId="49" fontId="9" fillId="3" borderId="0" xfId="0" applyNumberFormat="1" applyFont="1" applyFill="1" applyAlignment="1">
      <alignment horizontal="left"/>
    </xf>
    <xf numFmtId="2" fontId="4" fillId="0" borderId="0" xfId="0" applyNumberFormat="1" applyFont="1" applyAlignment="1"/>
    <xf numFmtId="4" fontId="4" fillId="0" borderId="0" xfId="0" applyNumberFormat="1" applyFont="1" applyAlignment="1"/>
    <xf numFmtId="0" fontId="9" fillId="3" borderId="0" xfId="0" applyFont="1" applyFill="1" applyAlignment="1">
      <alignment horizontal="left"/>
    </xf>
    <xf numFmtId="2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10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3" fillId="0" borderId="0" xfId="0" applyNumberFormat="1" applyFont="1" applyAlignment="1"/>
    <xf numFmtId="0" fontId="11" fillId="0" borderId="0" xfId="0" applyFont="1" applyAlignment="1">
      <alignment horizontal="right"/>
    </xf>
    <xf numFmtId="10" fontId="3" fillId="0" borderId="0" xfId="0" applyNumberFormat="1" applyFont="1" applyAlignment="1"/>
    <xf numFmtId="10" fontId="2" fillId="3" borderId="0" xfId="0" applyNumberFormat="1" applyFont="1" applyFill="1" applyAlignment="1"/>
    <xf numFmtId="0" fontId="12" fillId="3" borderId="0" xfId="0" applyFont="1" applyFill="1" applyAlignment="1">
      <alignment horizontal="right"/>
    </xf>
    <xf numFmtId="10" fontId="3" fillId="4" borderId="0" xfId="0" applyNumberFormat="1" applyFont="1" applyFill="1" applyAlignment="1"/>
    <xf numFmtId="0" fontId="11" fillId="0" borderId="0" xfId="0" applyFont="1" applyAlignment="1">
      <alignment horizontal="right"/>
    </xf>
    <xf numFmtId="0" fontId="10" fillId="0" borderId="0" xfId="0" applyFont="1" applyAlignment="1"/>
    <xf numFmtId="0" fontId="3" fillId="0" borderId="0" xfId="0" applyFont="1" applyAlignment="1"/>
    <xf numFmtId="0" fontId="11" fillId="0" borderId="0" xfId="0" applyFont="1" applyAlignment="1">
      <alignment horizontal="right"/>
    </xf>
    <xf numFmtId="2" fontId="3" fillId="0" borderId="0" xfId="0" applyNumberFormat="1" applyFont="1" applyAlignment="1"/>
    <xf numFmtId="10" fontId="3" fillId="0" borderId="0" xfId="0" applyNumberFormat="1" applyFont="1"/>
    <xf numFmtId="0" fontId="4" fillId="6" borderId="0" xfId="0" applyFont="1" applyFill="1" applyAlignment="1"/>
    <xf numFmtId="0" fontId="13" fillId="0" borderId="0" xfId="0" applyFont="1" applyAlignment="1"/>
    <xf numFmtId="10" fontId="4" fillId="0" borderId="0" xfId="0" applyNumberFormat="1" applyFont="1"/>
    <xf numFmtId="0" fontId="1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19</xdr:row>
      <xdr:rowOff>57150</xdr:rowOff>
    </xdr:from>
    <xdr:ext cx="3752850" cy="20288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19</xdr:row>
      <xdr:rowOff>57150</xdr:rowOff>
    </xdr:from>
    <xdr:ext cx="5743575" cy="22288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ir.lesechos.fr/marches-indices/enquetes/les-societes-qui-vont-profiter-de-la-forte-croissance-de-la-cybersecurite-1973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9"/>
  <sheetViews>
    <sheetView tabSelected="1" workbookViewId="0">
      <selection activeCell="I11" sqref="I11"/>
    </sheetView>
  </sheetViews>
  <sheetFormatPr defaultColWidth="12.67578125" defaultRowHeight="15.75" customHeight="1" x14ac:dyDescent="0.15"/>
  <cols>
    <col min="1" max="1" width="20.765625" customWidth="1"/>
    <col min="4" max="4" width="30.87890625" customWidth="1"/>
    <col min="5" max="5" width="27.64453125" customWidth="1"/>
    <col min="6" max="6" width="14.5625" customWidth="1"/>
  </cols>
  <sheetData>
    <row r="1" spans="1:12" ht="15.75" customHeight="1" x14ac:dyDescent="0.15">
      <c r="A1" s="1" t="s">
        <v>0</v>
      </c>
      <c r="B1" s="2"/>
      <c r="C1" s="2"/>
      <c r="D1" s="3" t="s">
        <v>1</v>
      </c>
      <c r="E1" s="4" t="s">
        <v>2</v>
      </c>
      <c r="F1" s="5" t="s">
        <v>3</v>
      </c>
      <c r="H1" s="6"/>
      <c r="I1" s="6"/>
      <c r="J1" s="6"/>
      <c r="K1" s="7"/>
      <c r="L1" s="7"/>
    </row>
    <row r="2" spans="1:12" ht="12.75" x14ac:dyDescent="0.15">
      <c r="A2" s="3" t="s">
        <v>4</v>
      </c>
      <c r="B2" s="8">
        <f>I11/(I11+I12)</f>
        <v>4.8996741381104027E-2</v>
      </c>
      <c r="C2" s="2"/>
      <c r="D2" s="4" t="s">
        <v>5</v>
      </c>
      <c r="E2" s="3" t="s">
        <v>6</v>
      </c>
      <c r="F2" s="9">
        <v>45565</v>
      </c>
      <c r="H2" s="7"/>
      <c r="I2" s="7"/>
      <c r="J2" s="7"/>
      <c r="K2" s="7"/>
      <c r="L2" s="7"/>
    </row>
    <row r="3" spans="1:12" ht="12.75" x14ac:dyDescent="0.15">
      <c r="A3" s="3" t="s">
        <v>7</v>
      </c>
      <c r="B3" s="8">
        <f>I12/(I11+I12)</f>
        <v>0.9510032586188959</v>
      </c>
      <c r="C3" s="2"/>
      <c r="D3" s="3" t="s">
        <v>8</v>
      </c>
      <c r="E3" s="3" t="s">
        <v>6</v>
      </c>
      <c r="F3" s="10">
        <v>45565</v>
      </c>
      <c r="H3" s="6"/>
      <c r="I3" s="6"/>
      <c r="J3" s="7"/>
      <c r="K3" s="7"/>
      <c r="L3" s="7"/>
    </row>
    <row r="4" spans="1:12" ht="12.75" x14ac:dyDescent="0.15">
      <c r="A4" s="3" t="s">
        <v>9</v>
      </c>
      <c r="B4" s="11">
        <v>4.6699999999999998E-2</v>
      </c>
      <c r="C4" s="2"/>
      <c r="D4" s="2"/>
      <c r="E4" s="3" t="s">
        <v>10</v>
      </c>
      <c r="F4" s="12"/>
      <c r="H4" s="6"/>
      <c r="I4" s="13"/>
      <c r="J4" s="7"/>
      <c r="K4" s="7"/>
      <c r="L4" s="7"/>
    </row>
    <row r="5" spans="1:12" ht="12.75" x14ac:dyDescent="0.15">
      <c r="A5" s="3" t="s">
        <v>11</v>
      </c>
      <c r="B5" s="11">
        <v>4.0099999999999997E-2</v>
      </c>
      <c r="C5" s="2"/>
      <c r="D5" s="2"/>
      <c r="E5" s="3" t="s">
        <v>12</v>
      </c>
      <c r="F5" s="14">
        <v>45657</v>
      </c>
      <c r="H5" s="6"/>
      <c r="I5" s="7"/>
      <c r="J5" s="7"/>
      <c r="K5" s="7"/>
      <c r="L5" s="7"/>
    </row>
    <row r="6" spans="1:12" ht="12.75" x14ac:dyDescent="0.15">
      <c r="A6" s="3" t="s">
        <v>13</v>
      </c>
      <c r="B6" s="15">
        <v>1.03</v>
      </c>
      <c r="C6" s="2"/>
      <c r="D6" s="3"/>
      <c r="E6" s="3" t="s">
        <v>14</v>
      </c>
      <c r="F6" s="12"/>
      <c r="H6" s="6"/>
      <c r="I6" s="16"/>
      <c r="J6" s="7"/>
      <c r="K6" s="7"/>
      <c r="L6" s="7"/>
    </row>
    <row r="7" spans="1:12" ht="12.75" x14ac:dyDescent="0.15">
      <c r="A7" s="3" t="s">
        <v>15</v>
      </c>
      <c r="B7" s="11">
        <v>4.5999999999999999E-2</v>
      </c>
      <c r="C7" s="2"/>
      <c r="D7" s="2"/>
      <c r="E7" s="3" t="s">
        <v>16</v>
      </c>
      <c r="F7" s="12"/>
    </row>
    <row r="8" spans="1:12" ht="14.25" x14ac:dyDescent="0.15">
      <c r="A8" s="3" t="s">
        <v>17</v>
      </c>
      <c r="B8" s="11">
        <v>0.1391</v>
      </c>
      <c r="C8" s="2"/>
      <c r="D8" s="3" t="s">
        <v>18</v>
      </c>
      <c r="E8" s="3" t="s">
        <v>19</v>
      </c>
      <c r="F8" s="2"/>
      <c r="H8" s="17"/>
    </row>
    <row r="9" spans="1:12" ht="12.75" x14ac:dyDescent="0.15">
      <c r="A9" s="2"/>
      <c r="B9" s="2"/>
      <c r="C9" s="2"/>
      <c r="D9" s="2"/>
      <c r="E9" s="2"/>
      <c r="F9" s="2"/>
    </row>
    <row r="10" spans="1:12" ht="12.75" x14ac:dyDescent="0.15">
      <c r="A10" s="18" t="s">
        <v>20</v>
      </c>
      <c r="B10" s="2"/>
      <c r="C10" s="2"/>
      <c r="D10" s="2"/>
      <c r="E10" s="2"/>
      <c r="F10" s="2"/>
      <c r="H10" s="19" t="s">
        <v>21</v>
      </c>
    </row>
    <row r="11" spans="1:12" ht="12.75" x14ac:dyDescent="0.15">
      <c r="A11" s="3" t="s">
        <v>22</v>
      </c>
      <c r="B11" s="20">
        <f>B5+(B6*B7)</f>
        <v>8.7480000000000002E-2</v>
      </c>
      <c r="C11" s="2"/>
      <c r="D11" s="3" t="s">
        <v>23</v>
      </c>
      <c r="E11" s="2"/>
      <c r="F11" s="2"/>
      <c r="H11" s="21" t="s">
        <v>24</v>
      </c>
      <c r="I11" s="21">
        <v>14.6</v>
      </c>
    </row>
    <row r="12" spans="1:12" ht="12.75" x14ac:dyDescent="0.15">
      <c r="A12" s="2"/>
      <c r="B12" s="2"/>
      <c r="C12" s="2"/>
      <c r="D12" s="2"/>
      <c r="E12" s="2"/>
      <c r="F12" s="2"/>
      <c r="H12" s="21" t="s">
        <v>25</v>
      </c>
      <c r="I12" s="21">
        <v>283.37900000000002</v>
      </c>
    </row>
    <row r="13" spans="1:12" ht="12.75" x14ac:dyDescent="0.15">
      <c r="A13" s="3" t="s">
        <v>26</v>
      </c>
      <c r="B13" s="20">
        <f>B11*B3+B4*B2*(1-B8)</f>
        <v>8.5163631524369163E-2</v>
      </c>
      <c r="C13" s="2"/>
      <c r="D13" s="3" t="s">
        <v>27</v>
      </c>
      <c r="E13" s="2"/>
      <c r="F13" s="2"/>
    </row>
    <row r="14" spans="1:12" ht="12.75" x14ac:dyDescent="0.15">
      <c r="A14" s="2"/>
      <c r="B14" s="2"/>
      <c r="C14" s="2"/>
      <c r="D14" s="2"/>
      <c r="E14" s="2"/>
      <c r="F14" s="2"/>
    </row>
    <row r="15" spans="1:12" ht="12.75" x14ac:dyDescent="0.15">
      <c r="A15" s="2"/>
      <c r="B15" s="2"/>
      <c r="C15" s="2"/>
      <c r="D15" s="2"/>
      <c r="E15" s="2"/>
      <c r="F15" s="2"/>
    </row>
    <row r="17" spans="1:4" ht="12.75" x14ac:dyDescent="0.15">
      <c r="A17" s="19" t="s">
        <v>28</v>
      </c>
      <c r="B17" s="19" t="s">
        <v>29</v>
      </c>
    </row>
    <row r="19" spans="1:4" ht="12.75" x14ac:dyDescent="0.15">
      <c r="A19" s="19" t="s">
        <v>30</v>
      </c>
      <c r="D19" s="22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0"/>
  <sheetViews>
    <sheetView workbookViewId="0">
      <selection activeCell="I16" sqref="I16"/>
    </sheetView>
  </sheetViews>
  <sheetFormatPr defaultColWidth="12.67578125" defaultRowHeight="15.75" customHeight="1" x14ac:dyDescent="0.15"/>
  <cols>
    <col min="1" max="1" width="17.80078125" customWidth="1"/>
    <col min="4" max="4" width="10.24609375" customWidth="1"/>
    <col min="6" max="6" width="24.8125" customWidth="1"/>
  </cols>
  <sheetData>
    <row r="1" spans="1:14" ht="15.75" customHeight="1" x14ac:dyDescent="0.15">
      <c r="A1" s="19" t="s">
        <v>32</v>
      </c>
    </row>
    <row r="2" spans="1:14" ht="12.75" x14ac:dyDescent="0.15">
      <c r="D2" s="19" t="s">
        <v>33</v>
      </c>
    </row>
    <row r="3" spans="1:14" ht="12.75" x14ac:dyDescent="0.15">
      <c r="A3" s="19" t="s">
        <v>34</v>
      </c>
      <c r="B3" s="19" t="s">
        <v>35</v>
      </c>
      <c r="C3" s="19" t="s">
        <v>36</v>
      </c>
      <c r="D3" s="19" t="s">
        <v>37</v>
      </c>
      <c r="E3" s="19" t="s">
        <v>38</v>
      </c>
      <c r="F3" s="19" t="s">
        <v>39</v>
      </c>
      <c r="G3" s="19" t="s">
        <v>40</v>
      </c>
      <c r="H3" s="19" t="s">
        <v>41</v>
      </c>
      <c r="I3" s="19" t="s">
        <v>42</v>
      </c>
      <c r="J3" s="19" t="s">
        <v>43</v>
      </c>
      <c r="K3" s="19" t="s">
        <v>44</v>
      </c>
      <c r="L3" s="19" t="s">
        <v>45</v>
      </c>
      <c r="M3" s="19" t="s">
        <v>46</v>
      </c>
      <c r="N3" s="19" t="s">
        <v>47</v>
      </c>
    </row>
    <row r="4" spans="1:14" ht="12.75" x14ac:dyDescent="0.15">
      <c r="A4" s="19" t="s">
        <v>48</v>
      </c>
      <c r="B4" s="19" t="s">
        <v>49</v>
      </c>
      <c r="C4" s="23" t="s">
        <v>50</v>
      </c>
      <c r="D4" s="24">
        <f>L4/(K4+L4)</f>
        <v>0.56497723370903929</v>
      </c>
      <c r="E4" s="25">
        <f>K4/(L4+K4)</f>
        <v>0.43502276629096065</v>
      </c>
      <c r="F4" s="19">
        <v>1.1299999999999999</v>
      </c>
      <c r="G4" s="19">
        <v>1.1299999999999999</v>
      </c>
      <c r="H4" s="26" t="s">
        <v>51</v>
      </c>
      <c r="I4" s="27">
        <f t="shared" ref="I4:I13" si="0">H4/(1+(N4*(1-M4)))</f>
        <v>0.90594730136903201</v>
      </c>
      <c r="J4" s="19" t="s">
        <v>52</v>
      </c>
      <c r="K4" s="28">
        <v>1748400</v>
      </c>
      <c r="L4" s="19">
        <v>2270700</v>
      </c>
      <c r="M4" s="19">
        <v>9.1249999999999998E-2</v>
      </c>
      <c r="N4" s="19">
        <v>0.26</v>
      </c>
    </row>
    <row r="5" spans="1:14" ht="12.75" x14ac:dyDescent="0.15">
      <c r="A5" s="19" t="s">
        <v>53</v>
      </c>
      <c r="B5" s="19" t="s">
        <v>54</v>
      </c>
      <c r="C5" s="29" t="s">
        <v>55</v>
      </c>
      <c r="D5" s="19">
        <v>18</v>
      </c>
      <c r="E5" s="19">
        <v>82</v>
      </c>
      <c r="F5" s="19" t="s">
        <v>56</v>
      </c>
      <c r="G5" s="19" t="s">
        <v>56</v>
      </c>
      <c r="H5" s="19">
        <v>0.61</v>
      </c>
      <c r="I5" s="30">
        <f t="shared" si="0"/>
        <v>0.51536073375463431</v>
      </c>
      <c r="J5" s="19" t="s">
        <v>57</v>
      </c>
      <c r="K5" s="28">
        <v>263513</v>
      </c>
      <c r="L5" s="19">
        <v>57608</v>
      </c>
      <c r="M5" s="19">
        <v>0.16</v>
      </c>
      <c r="N5" s="30">
        <f t="shared" ref="N5:N13" si="1">L5/K5</f>
        <v>0.21861540037872895</v>
      </c>
    </row>
    <row r="6" spans="1:14" ht="12.75" x14ac:dyDescent="0.15">
      <c r="A6" s="19" t="s">
        <v>58</v>
      </c>
      <c r="B6" s="29" t="s">
        <v>59</v>
      </c>
      <c r="C6" s="23" t="s">
        <v>60</v>
      </c>
      <c r="D6" s="25">
        <f>L6/(L6+K6)</f>
        <v>0.34869946009783476</v>
      </c>
      <c r="E6" s="25">
        <f>K6/(L6+K6)</f>
        <v>0.6513005399021653</v>
      </c>
      <c r="F6" s="19">
        <v>1.0900000000000001</v>
      </c>
      <c r="G6" s="19">
        <v>1.0900000000000001</v>
      </c>
      <c r="H6" s="19">
        <v>1.1000000000000001</v>
      </c>
      <c r="I6" s="30">
        <f t="shared" si="0"/>
        <v>0.76818204719216676</v>
      </c>
      <c r="J6" s="19" t="s">
        <v>61</v>
      </c>
      <c r="K6" s="28">
        <v>1463641</v>
      </c>
      <c r="L6" s="19">
        <v>783618</v>
      </c>
      <c r="M6" s="19">
        <v>0.19320000000000001</v>
      </c>
      <c r="N6" s="30">
        <f t="shared" si="1"/>
        <v>0.53538948416995702</v>
      </c>
    </row>
    <row r="7" spans="1:14" ht="12.75" x14ac:dyDescent="0.15">
      <c r="A7" s="19" t="s">
        <v>62</v>
      </c>
      <c r="B7" s="19" t="s">
        <v>63</v>
      </c>
      <c r="C7" s="23" t="s">
        <v>64</v>
      </c>
      <c r="D7" s="19">
        <v>31</v>
      </c>
      <c r="E7" s="19">
        <v>69</v>
      </c>
      <c r="F7" s="19">
        <v>1.07</v>
      </c>
      <c r="G7" s="19">
        <v>1.07</v>
      </c>
      <c r="H7" s="19">
        <v>1.1000000000000001</v>
      </c>
      <c r="I7" s="30">
        <f t="shared" si="0"/>
        <v>0.77860954687441553</v>
      </c>
      <c r="J7" s="19" t="s">
        <v>65</v>
      </c>
      <c r="K7" s="28">
        <v>2025354</v>
      </c>
      <c r="L7" s="19">
        <v>902337</v>
      </c>
      <c r="M7" s="19">
        <v>7.3499999999999996E-2</v>
      </c>
      <c r="N7" s="30">
        <f t="shared" si="1"/>
        <v>0.44552063491123034</v>
      </c>
    </row>
    <row r="8" spans="1:14" ht="12.75" x14ac:dyDescent="0.15">
      <c r="A8" s="19" t="s">
        <v>66</v>
      </c>
      <c r="B8" s="19" t="s">
        <v>67</v>
      </c>
      <c r="C8" s="23" t="s">
        <v>68</v>
      </c>
      <c r="D8" s="25">
        <f>L8/(L8+K8)</f>
        <v>0.62539230865799056</v>
      </c>
      <c r="E8" s="25">
        <f>K8/(L8+K8)</f>
        <v>0.37460769134200944</v>
      </c>
      <c r="F8" s="19">
        <v>0.8</v>
      </c>
      <c r="G8" s="19">
        <v>0.79</v>
      </c>
      <c r="H8" s="19">
        <v>0.81</v>
      </c>
      <c r="I8" s="30">
        <f t="shared" si="0"/>
        <v>0.35441075482718426</v>
      </c>
      <c r="J8" s="19" t="s">
        <v>52</v>
      </c>
      <c r="K8" s="28">
        <v>725112</v>
      </c>
      <c r="L8" s="19">
        <v>1210545</v>
      </c>
      <c r="M8" s="19">
        <v>0.23</v>
      </c>
      <c r="N8" s="30">
        <f t="shared" si="1"/>
        <v>1.6694593386952636</v>
      </c>
    </row>
    <row r="9" spans="1:14" ht="12.75" x14ac:dyDescent="0.15">
      <c r="A9" s="19" t="s">
        <v>69</v>
      </c>
      <c r="B9" s="19" t="s">
        <v>70</v>
      </c>
      <c r="C9" s="23" t="s">
        <v>71</v>
      </c>
      <c r="D9" s="19">
        <v>50</v>
      </c>
      <c r="E9" s="19">
        <v>50</v>
      </c>
      <c r="F9" s="19">
        <v>0.68</v>
      </c>
      <c r="G9" s="19">
        <v>0.68</v>
      </c>
      <c r="H9" s="19">
        <v>0.68</v>
      </c>
      <c r="I9" s="30">
        <f t="shared" si="0"/>
        <v>0.37148336478849325</v>
      </c>
      <c r="J9" s="19" t="s">
        <v>65</v>
      </c>
      <c r="K9" s="28">
        <v>4597155</v>
      </c>
      <c r="L9" s="19">
        <v>4535979</v>
      </c>
      <c r="M9" s="19">
        <v>0.1583</v>
      </c>
      <c r="N9" s="30">
        <f t="shared" si="1"/>
        <v>0.98669263925188511</v>
      </c>
    </row>
    <row r="10" spans="1:14" ht="12.75" x14ac:dyDescent="0.15">
      <c r="A10" s="19" t="s">
        <v>72</v>
      </c>
      <c r="B10" s="19" t="s">
        <v>73</v>
      </c>
      <c r="C10" s="23" t="s">
        <v>74</v>
      </c>
      <c r="D10" s="25">
        <f>L10/(L10+K10)</f>
        <v>0.30218307162006897</v>
      </c>
      <c r="E10" s="24">
        <f>K10/(L10+K10)</f>
        <v>0.69781692837993103</v>
      </c>
      <c r="F10" s="19">
        <v>1</v>
      </c>
      <c r="G10" s="19">
        <v>0.99</v>
      </c>
      <c r="H10" s="19">
        <v>1.01</v>
      </c>
      <c r="I10" s="30">
        <f t="shared" si="0"/>
        <v>0.76489072514610168</v>
      </c>
      <c r="J10" s="19" t="s">
        <v>61</v>
      </c>
      <c r="K10" s="28">
        <v>5466000</v>
      </c>
      <c r="L10" s="19">
        <v>2367000</v>
      </c>
      <c r="M10" s="19">
        <v>0.26</v>
      </c>
      <c r="N10" s="30">
        <f t="shared" si="1"/>
        <v>0.43304061470911087</v>
      </c>
    </row>
    <row r="11" spans="1:14" ht="12.75" x14ac:dyDescent="0.15">
      <c r="A11" s="19" t="s">
        <v>75</v>
      </c>
      <c r="B11" s="19" t="s">
        <v>76</v>
      </c>
      <c r="C11" s="23" t="s">
        <v>77</v>
      </c>
      <c r="D11" s="25">
        <f t="shared" ref="D11:D13" si="2">L11/SUM(K11,L11)</f>
        <v>0.1590891854997725</v>
      </c>
      <c r="E11" s="25">
        <f t="shared" ref="E11:E13" si="3">K11/SUM(K11,L11)</f>
        <v>0.84091081450022753</v>
      </c>
      <c r="F11" s="19">
        <v>0.83</v>
      </c>
      <c r="G11" s="19">
        <v>0.83</v>
      </c>
      <c r="H11" s="19">
        <v>0.82</v>
      </c>
      <c r="I11" s="30">
        <f t="shared" si="0"/>
        <v>0.70714164715967598</v>
      </c>
      <c r="J11" s="19" t="s">
        <v>52</v>
      </c>
      <c r="K11" s="28">
        <v>44353000</v>
      </c>
      <c r="L11" s="19">
        <v>8391000</v>
      </c>
      <c r="M11" s="19">
        <v>0.15640000000000001</v>
      </c>
      <c r="N11" s="30">
        <f t="shared" si="1"/>
        <v>0.18918675174170857</v>
      </c>
    </row>
    <row r="12" spans="1:14" ht="12.75" x14ac:dyDescent="0.15">
      <c r="A12" s="19" t="s">
        <v>78</v>
      </c>
      <c r="B12" s="19" t="s">
        <v>79</v>
      </c>
      <c r="C12" s="23" t="s">
        <v>80</v>
      </c>
      <c r="D12" s="25">
        <f t="shared" si="2"/>
        <v>9.1193158030363319E-2</v>
      </c>
      <c r="E12" s="25">
        <f t="shared" si="3"/>
        <v>0.90880684196963668</v>
      </c>
      <c r="F12" s="19">
        <v>1.05</v>
      </c>
      <c r="G12" s="19">
        <v>1.05</v>
      </c>
      <c r="H12" s="19">
        <v>1.05</v>
      </c>
      <c r="I12" s="30">
        <f t="shared" si="0"/>
        <v>0.97062229484765827</v>
      </c>
      <c r="J12" s="19" t="s">
        <v>81</v>
      </c>
      <c r="K12" s="28">
        <v>2800232</v>
      </c>
      <c r="L12" s="19">
        <v>280986</v>
      </c>
      <c r="M12" s="19">
        <v>0.185</v>
      </c>
      <c r="N12" s="30">
        <f t="shared" si="1"/>
        <v>0.10034382865419722</v>
      </c>
    </row>
    <row r="13" spans="1:14" ht="12.75" x14ac:dyDescent="0.15">
      <c r="A13" s="19" t="s">
        <v>82</v>
      </c>
      <c r="B13" s="19" t="s">
        <v>83</v>
      </c>
      <c r="C13" s="23" t="s">
        <v>84</v>
      </c>
      <c r="D13" s="31">
        <f t="shared" si="2"/>
        <v>0</v>
      </c>
      <c r="E13" s="25">
        <f t="shared" si="3"/>
        <v>1</v>
      </c>
      <c r="F13" s="19">
        <v>0.63</v>
      </c>
      <c r="G13" s="19">
        <v>0.63</v>
      </c>
      <c r="H13" s="19">
        <v>0.63</v>
      </c>
      <c r="I13" s="30">
        <f t="shared" si="0"/>
        <v>0.63</v>
      </c>
      <c r="J13" s="19" t="s">
        <v>65</v>
      </c>
      <c r="K13" s="28">
        <v>2821000</v>
      </c>
      <c r="L13" s="19">
        <v>0</v>
      </c>
      <c r="M13" s="19">
        <v>0.13089999999999999</v>
      </c>
      <c r="N13" s="30">
        <f t="shared" si="1"/>
        <v>0</v>
      </c>
    </row>
    <row r="14" spans="1:14" ht="12.75" x14ac:dyDescent="0.15">
      <c r="I14" s="30"/>
    </row>
    <row r="15" spans="1:14" ht="12.75" x14ac:dyDescent="0.15">
      <c r="A15" s="19" t="s">
        <v>85</v>
      </c>
    </row>
    <row r="16" spans="1:14" ht="12.75" x14ac:dyDescent="0.15">
      <c r="A16" s="19" t="s">
        <v>86</v>
      </c>
      <c r="I16" s="30">
        <f>SUM(I4:I13)/10</f>
        <v>0.67666484159593621</v>
      </c>
      <c r="J16" s="19" t="s">
        <v>87</v>
      </c>
    </row>
    <row r="17" spans="1:12" ht="12.75" x14ac:dyDescent="0.15">
      <c r="A17" s="19" t="s">
        <v>88</v>
      </c>
      <c r="I17" s="30">
        <f>SUM(I4,I6:I13)/9</f>
        <v>0.69458752024496961</v>
      </c>
      <c r="J17" s="19" t="s">
        <v>89</v>
      </c>
    </row>
    <row r="18" spans="1:12" ht="12.75" x14ac:dyDescent="0.15">
      <c r="A18" s="19" t="s">
        <v>90</v>
      </c>
      <c r="L18" s="32"/>
    </row>
    <row r="19" spans="1:12" ht="12.75" x14ac:dyDescent="0.15">
      <c r="A19" s="19" t="s">
        <v>91</v>
      </c>
    </row>
    <row r="20" spans="1:12" ht="12.75" x14ac:dyDescent="0.15">
      <c r="A20" s="1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9"/>
  <sheetViews>
    <sheetView workbookViewId="0"/>
  </sheetViews>
  <sheetFormatPr defaultColWidth="12.67578125" defaultRowHeight="15.75" customHeight="1" x14ac:dyDescent="0.15"/>
  <cols>
    <col min="1" max="1" width="47.0625" customWidth="1"/>
    <col min="2" max="2" width="18.7421875" customWidth="1"/>
    <col min="3" max="3" width="41.8046875" customWidth="1"/>
  </cols>
  <sheetData>
    <row r="1" spans="1:4" ht="15.75" customHeight="1" x14ac:dyDescent="0.15">
      <c r="A1" s="33" t="s">
        <v>93</v>
      </c>
      <c r="B1" s="34" t="s">
        <v>94</v>
      </c>
      <c r="C1" s="35" t="s">
        <v>95</v>
      </c>
      <c r="D1" s="5" t="s">
        <v>96</v>
      </c>
    </row>
    <row r="2" spans="1:4" ht="12.75" x14ac:dyDescent="0.15">
      <c r="A2" s="5" t="s">
        <v>4</v>
      </c>
      <c r="B2" s="36">
        <v>0.2</v>
      </c>
      <c r="C2" s="37"/>
      <c r="D2" s="12"/>
    </row>
    <row r="3" spans="1:4" ht="12.75" x14ac:dyDescent="0.15">
      <c r="A3" s="5" t="s">
        <v>7</v>
      </c>
      <c r="B3" s="36">
        <v>0.8</v>
      </c>
      <c r="C3" s="37"/>
      <c r="D3" s="12"/>
    </row>
    <row r="4" spans="1:4" ht="12.75" x14ac:dyDescent="0.15">
      <c r="A4" s="5" t="s">
        <v>9</v>
      </c>
      <c r="B4" s="38">
        <v>5.3600000000000002E-2</v>
      </c>
      <c r="C4" s="37"/>
      <c r="D4" s="5" t="s">
        <v>97</v>
      </c>
    </row>
    <row r="5" spans="1:4" ht="12.75" x14ac:dyDescent="0.15">
      <c r="A5" s="5" t="s">
        <v>98</v>
      </c>
      <c r="B5" s="39">
        <v>4.0099999999999997E-2</v>
      </c>
      <c r="C5" s="40"/>
      <c r="D5" s="5" t="s">
        <v>99</v>
      </c>
    </row>
    <row r="6" spans="1:4" ht="12.75" x14ac:dyDescent="0.15">
      <c r="A6" s="5" t="s">
        <v>15</v>
      </c>
      <c r="B6" s="41">
        <v>5.2999999999999999E-2</v>
      </c>
      <c r="C6" s="42" t="s">
        <v>100</v>
      </c>
      <c r="D6" s="12"/>
    </row>
    <row r="7" spans="1:4" ht="12.75" x14ac:dyDescent="0.15">
      <c r="A7" s="5" t="s">
        <v>101</v>
      </c>
      <c r="B7" s="38">
        <v>0.1391</v>
      </c>
      <c r="C7" s="37"/>
      <c r="D7" s="12"/>
    </row>
    <row r="8" spans="1:4" ht="12.75" x14ac:dyDescent="0.15">
      <c r="A8" s="12"/>
      <c r="B8" s="12"/>
      <c r="C8" s="37"/>
      <c r="D8" s="12"/>
    </row>
    <row r="9" spans="1:4" ht="12.75" x14ac:dyDescent="0.15">
      <c r="A9" s="43" t="s">
        <v>102</v>
      </c>
      <c r="B9" s="44">
        <v>0.69</v>
      </c>
      <c r="C9" s="45"/>
      <c r="D9" s="12"/>
    </row>
    <row r="10" spans="1:4" ht="12.75" x14ac:dyDescent="0.15">
      <c r="A10" s="12"/>
      <c r="B10" s="12"/>
      <c r="C10" s="37"/>
      <c r="D10" s="12"/>
    </row>
    <row r="11" spans="1:4" ht="12.75" x14ac:dyDescent="0.15">
      <c r="A11" s="43" t="s">
        <v>103</v>
      </c>
      <c r="B11" s="12"/>
      <c r="C11" s="37"/>
      <c r="D11" s="12"/>
    </row>
    <row r="12" spans="1:4" ht="12.75" x14ac:dyDescent="0.15">
      <c r="A12" s="5" t="s">
        <v>4</v>
      </c>
      <c r="B12" s="36">
        <v>0.2</v>
      </c>
      <c r="C12" s="37"/>
      <c r="D12" s="12"/>
    </row>
    <row r="13" spans="1:4" ht="12.75" x14ac:dyDescent="0.15">
      <c r="A13" s="5" t="s">
        <v>7</v>
      </c>
      <c r="B13" s="36">
        <v>0.8</v>
      </c>
      <c r="C13" s="37"/>
      <c r="D13" s="12"/>
    </row>
    <row r="14" spans="1:4" ht="12.75" x14ac:dyDescent="0.15">
      <c r="A14" s="5" t="s">
        <v>101</v>
      </c>
      <c r="B14" s="38">
        <v>0.1391</v>
      </c>
      <c r="C14" s="37"/>
      <c r="D14" s="12"/>
    </row>
    <row r="15" spans="1:4" ht="12.75" x14ac:dyDescent="0.15">
      <c r="A15" s="43" t="s">
        <v>104</v>
      </c>
      <c r="B15" s="46">
        <f>0.69*(1+(0.2/0.8*(1-0.1391)))</f>
        <v>0.83850524999999998</v>
      </c>
      <c r="C15" s="42" t="s">
        <v>105</v>
      </c>
      <c r="D15" s="12"/>
    </row>
    <row r="16" spans="1:4" ht="12.75" x14ac:dyDescent="0.15">
      <c r="A16" s="12"/>
      <c r="B16" s="12"/>
      <c r="C16" s="37"/>
      <c r="D16" s="12"/>
    </row>
    <row r="17" spans="1:4" ht="12.75" x14ac:dyDescent="0.15">
      <c r="A17" s="43" t="s">
        <v>106</v>
      </c>
      <c r="B17" s="47">
        <f>B5+B15*B6</f>
        <v>8.4540778250000004E-2</v>
      </c>
      <c r="C17" s="42" t="s">
        <v>107</v>
      </c>
      <c r="D17" s="12"/>
    </row>
    <row r="18" spans="1:4" ht="12.75" x14ac:dyDescent="0.15">
      <c r="A18" s="12"/>
      <c r="B18" s="12"/>
      <c r="C18" s="37"/>
      <c r="D18" s="12"/>
    </row>
    <row r="19" spans="1:4" ht="12.75" x14ac:dyDescent="0.15">
      <c r="A19" s="43" t="s">
        <v>26</v>
      </c>
      <c r="B19" s="47">
        <f>B17*B13+B4*B12*(1-B14)</f>
        <v>7.6861470600000009E-2</v>
      </c>
      <c r="C19" s="42" t="s">
        <v>108</v>
      </c>
      <c r="D1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8"/>
  <sheetViews>
    <sheetView workbookViewId="0"/>
  </sheetViews>
  <sheetFormatPr defaultColWidth="12.67578125" defaultRowHeight="15.75" customHeight="1" x14ac:dyDescent="0.15"/>
  <cols>
    <col min="1" max="1" width="31.82421875" customWidth="1"/>
  </cols>
  <sheetData>
    <row r="1" spans="1:2" ht="15.75" customHeight="1" x14ac:dyDescent="0.15">
      <c r="A1" s="48" t="s">
        <v>109</v>
      </c>
    </row>
    <row r="3" spans="1:2" ht="12.75" x14ac:dyDescent="0.15">
      <c r="A3" s="49" t="s">
        <v>110</v>
      </c>
      <c r="B3" s="50">
        <f>Google!B13</f>
        <v>8.5163631524369163E-2</v>
      </c>
    </row>
    <row r="5" spans="1:2" ht="12.75" x14ac:dyDescent="0.15">
      <c r="A5" s="49" t="s">
        <v>111</v>
      </c>
      <c r="B5" s="50">
        <f>Cybersecurity!B19</f>
        <v>7.6861470600000009E-2</v>
      </c>
    </row>
    <row r="7" spans="1:2" ht="12.75" x14ac:dyDescent="0.15">
      <c r="A7" s="49" t="s">
        <v>112</v>
      </c>
      <c r="B7" s="50">
        <f>B3*0.85+B5*0.15</f>
        <v>8.3918307385713792E-2</v>
      </c>
    </row>
    <row r="8" spans="1:2" ht="12.75" x14ac:dyDescent="0.15">
      <c r="A8" s="19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"/>
  <sheetViews>
    <sheetView workbookViewId="0"/>
  </sheetViews>
  <sheetFormatPr defaultColWidth="12.67578125" defaultRowHeight="15.75" customHeight="1" x14ac:dyDescent="0.15"/>
  <sheetData>
    <row r="3" spans="1:1" ht="15.75" customHeight="1" x14ac:dyDescent="0.15">
      <c r="A3" s="51" t="s">
        <v>114</v>
      </c>
    </row>
  </sheetData>
  <hyperlinks>
    <hyperlink ref="A3" r:id="rId1" location=":~:text=Exclusive%20Networks%2C%20Wallix%20et%20Verimatrix,les%20doigts%20d'une%20main.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Google</vt:lpstr>
      <vt:lpstr>Pure play</vt:lpstr>
      <vt:lpstr>Cybersecurity</vt:lpstr>
      <vt:lpstr>Summary</vt:lpstr>
      <vt:lpstr>Feuille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Karunakaran</dc:creator>
  <dcterms:created xsi:type="dcterms:W3CDTF">2025-11-17T22:55:02Z</dcterms:created>
</cp:coreProperties>
</file>